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yt\Documents\School\Year7\Spring\CIS520\Projects\hw4\"/>
    </mc:Choice>
  </mc:AlternateContent>
  <xr:revisionPtr revIDLastSave="0" documentId="13_ncr:1_{8D061625-D44A-4941-AAD3-5D2515979FFA}" xr6:coauthVersionLast="47" xr6:coauthVersionMax="47" xr10:uidLastSave="{00000000-0000-0000-0000-000000000000}"/>
  <bookViews>
    <workbookView xWindow="57510" yWindow="-100" windowWidth="19380" windowHeight="20970" xr2:uid="{0E29E30C-3131-44E8-9026-FE552BEB01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1" i="1" l="1"/>
  <c r="H139" i="1"/>
  <c r="H138" i="1"/>
  <c r="H137" i="1"/>
  <c r="H133" i="1"/>
  <c r="H132" i="1"/>
  <c r="H128" i="1"/>
  <c r="H127" i="1"/>
  <c r="H125" i="1"/>
  <c r="H126" i="1"/>
  <c r="H120" i="1"/>
  <c r="H119" i="1"/>
  <c r="H118" i="1"/>
  <c r="H117" i="1"/>
  <c r="H110" i="1"/>
  <c r="H109" i="1"/>
  <c r="H108" i="1"/>
  <c r="H105" i="1"/>
  <c r="H104" i="1"/>
  <c r="H103" i="1"/>
  <c r="H102" i="1"/>
  <c r="H101" i="1"/>
  <c r="H96" i="1"/>
  <c r="H95" i="1"/>
  <c r="H94" i="1"/>
  <c r="H88" i="1"/>
  <c r="H84" i="1"/>
  <c r="H83" i="1"/>
  <c r="H82" i="1"/>
  <c r="H78" i="1"/>
  <c r="H77" i="1"/>
  <c r="H76" i="1"/>
  <c r="H73" i="1"/>
  <c r="H72" i="1"/>
  <c r="H71" i="1"/>
  <c r="H70" i="1"/>
  <c r="H65" i="1"/>
  <c r="H64" i="1"/>
  <c r="H63" i="1"/>
  <c r="H62" i="1"/>
  <c r="H61" i="1"/>
  <c r="H60" i="1"/>
  <c r="H55" i="1"/>
  <c r="H56" i="1"/>
  <c r="H54" i="1"/>
  <c r="H53" i="1"/>
  <c r="H49" i="1"/>
  <c r="H48" i="1"/>
  <c r="H47" i="1"/>
  <c r="H39" i="1"/>
  <c r="H33" i="1"/>
  <c r="H18" i="1"/>
  <c r="H10" i="1"/>
  <c r="H42" i="1"/>
  <c r="H41" i="1"/>
  <c r="H40" i="1"/>
  <c r="H36" i="1"/>
  <c r="H35" i="1"/>
  <c r="H34" i="1"/>
  <c r="H29" i="1"/>
  <c r="H28" i="1"/>
  <c r="H27" i="1"/>
  <c r="H26" i="1"/>
  <c r="H25" i="1"/>
  <c r="H22" i="1"/>
  <c r="H21" i="1"/>
  <c r="H20" i="1"/>
  <c r="H19" i="1"/>
  <c r="H13" i="1"/>
  <c r="H12" i="1"/>
  <c r="H11" i="1"/>
  <c r="H7" i="1"/>
  <c r="H6" i="1"/>
  <c r="H5" i="1"/>
  <c r="H4" i="1"/>
</calcChain>
</file>

<file path=xl/sharedStrings.xml><?xml version="1.0" encoding="utf-8"?>
<sst xmlns="http://schemas.openxmlformats.org/spreadsheetml/2006/main" count="131" uniqueCount="58">
  <si>
    <t>Number of threads</t>
  </si>
  <si>
    <t>1G mem</t>
  </si>
  <si>
    <t>500000 Lines</t>
  </si>
  <si>
    <t>Number of thread</t>
  </si>
  <si>
    <t>3G</t>
  </si>
  <si>
    <t>1000000 Lines</t>
  </si>
  <si>
    <t>does not fit on a single mole node</t>
  </si>
  <si>
    <t>Memroy per core</t>
  </si>
  <si>
    <t>4 thread</t>
  </si>
  <si>
    <t>64MB</t>
  </si>
  <si>
    <t>128MB</t>
  </si>
  <si>
    <t>1GB</t>
  </si>
  <si>
    <t>1.5GB</t>
  </si>
  <si>
    <t>2GB</t>
  </si>
  <si>
    <t>Not enough memory to run the full set</t>
  </si>
  <si>
    <t>512MB</t>
  </si>
  <si>
    <t>Memory per core</t>
  </si>
  <si>
    <t>16 thread</t>
  </si>
  <si>
    <t>100000 Lines</t>
  </si>
  <si>
    <t>10000 Lines</t>
  </si>
  <si>
    <t>Overflows memory for the core</t>
  </si>
  <si>
    <t>Number of lines</t>
  </si>
  <si>
    <t>4 threads</t>
  </si>
  <si>
    <t>1G</t>
  </si>
  <si>
    <t>averages</t>
  </si>
  <si>
    <t>Too much data for the thread to run all of it</t>
  </si>
  <si>
    <t>pthreads</t>
  </si>
  <si>
    <t>mpi</t>
  </si>
  <si>
    <t>Number of Nodes</t>
  </si>
  <si>
    <t>2 nodes</t>
  </si>
  <si>
    <t>1000000 lines</t>
  </si>
  <si>
    <t>1 nodes</t>
  </si>
  <si>
    <t>4G mem</t>
  </si>
  <si>
    <t>config is not available</t>
  </si>
  <si>
    <t>cant run 1 process on 2 nodes</t>
  </si>
  <si>
    <t>8 thread</t>
  </si>
  <si>
    <t>2 threads</t>
  </si>
  <si>
    <t>1 threads</t>
  </si>
  <si>
    <t>not enough memory to split between 2 nodes</t>
  </si>
  <si>
    <t>Not enough to run with 1 million lines</t>
  </si>
  <si>
    <t>not enough to run with 1 million lines</t>
  </si>
  <si>
    <t>100000 lines</t>
  </si>
  <si>
    <t>10000 lines</t>
  </si>
  <si>
    <t>unable to run 1 thread with greater than 1 node</t>
  </si>
  <si>
    <t>unable to run 1 thread with greater than 4 node</t>
  </si>
  <si>
    <t>openmp</t>
  </si>
  <si>
    <t>cpus-per-task</t>
  </si>
  <si>
    <t>500000 lines</t>
  </si>
  <si>
    <t>2G</t>
  </si>
  <si>
    <t>8 cpus</t>
  </si>
  <si>
    <t>2 cpu</t>
  </si>
  <si>
    <t>4 cpus</t>
  </si>
  <si>
    <t>1.5G</t>
  </si>
  <si>
    <t>4G</t>
  </si>
  <si>
    <t>1 cpus</t>
  </si>
  <si>
    <t>config not available</t>
  </si>
  <si>
    <t>Not enough memory to run</t>
  </si>
  <si>
    <t>not enough memory to 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</si>
</sst>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20492-66C6-42E8-BFFE-CFE6BE2EB712}">
  <dimension ref="A1:H140"/>
  <sheetViews>
    <sheetView tabSelected="1" topLeftCell="A88" zoomScale="145" zoomScaleNormal="145" workbookViewId="0">
      <selection activeCell="D111" sqref="D111"/>
    </sheetView>
  </sheetViews>
  <sheetFormatPr defaultRowHeight="14.4" x14ac:dyDescent="0.55000000000000004"/>
  <cols>
    <col min="1" max="1" width="15.7890625" bestFit="1" customWidth="1"/>
    <col min="3" max="3" width="12.47265625" bestFit="1" customWidth="1"/>
    <col min="4" max="4" width="11.734375" bestFit="1" customWidth="1"/>
  </cols>
  <sheetData>
    <row r="1" spans="1:8" x14ac:dyDescent="0.55000000000000004">
      <c r="A1" t="s">
        <v>26</v>
      </c>
    </row>
    <row r="2" spans="1:8" x14ac:dyDescent="0.55000000000000004">
      <c r="A2" t="s">
        <v>0</v>
      </c>
      <c r="B2" t="s">
        <v>1</v>
      </c>
      <c r="C2" t="s">
        <v>2</v>
      </c>
      <c r="H2" t="s">
        <v>24</v>
      </c>
    </row>
    <row r="3" spans="1:8" x14ac:dyDescent="0.55000000000000004">
      <c r="A3">
        <v>1</v>
      </c>
      <c r="B3" t="s">
        <v>25</v>
      </c>
    </row>
    <row r="4" spans="1:8" x14ac:dyDescent="0.55000000000000004">
      <c r="A4">
        <v>2</v>
      </c>
      <c r="B4">
        <v>2.5880000000000001</v>
      </c>
      <c r="C4">
        <v>2.5619999999999998</v>
      </c>
      <c r="D4">
        <v>2.617</v>
      </c>
      <c r="E4">
        <v>2.6219999999999999</v>
      </c>
      <c r="F4">
        <v>2.5910000000000002</v>
      </c>
      <c r="H4">
        <f>AVERAGE(B4, C4, D4, E4, F4)</f>
        <v>2.5960000000000001</v>
      </c>
    </row>
    <row r="5" spans="1:8" x14ac:dyDescent="0.55000000000000004">
      <c r="A5">
        <v>4</v>
      </c>
      <c r="B5">
        <v>2.4529999999999998</v>
      </c>
      <c r="C5">
        <v>2.496</v>
      </c>
      <c r="D5">
        <v>2.4820000000000002</v>
      </c>
      <c r="E5">
        <v>2.5129999999999999</v>
      </c>
      <c r="F5">
        <v>2.536</v>
      </c>
      <c r="H5">
        <f>AVERAGE(B5,C5,D5,E5,F5)</f>
        <v>2.4959999999999996</v>
      </c>
    </row>
    <row r="6" spans="1:8" x14ac:dyDescent="0.55000000000000004">
      <c r="A6">
        <v>8</v>
      </c>
      <c r="B6">
        <v>2.4159999999999999</v>
      </c>
      <c r="C6">
        <v>2.649</v>
      </c>
      <c r="D6">
        <v>2.5489999999999999</v>
      </c>
      <c r="E6">
        <v>2.4940000000000002</v>
      </c>
      <c r="F6">
        <v>2.3639999999999999</v>
      </c>
      <c r="H6">
        <f>AVERAGE(B6,C6,D6,E6,F6)</f>
        <v>2.4943999999999997</v>
      </c>
    </row>
    <row r="7" spans="1:8" x14ac:dyDescent="0.55000000000000004">
      <c r="A7">
        <v>16</v>
      </c>
      <c r="B7">
        <v>2.35</v>
      </c>
      <c r="C7">
        <v>2.423</v>
      </c>
      <c r="D7">
        <v>2.3849999999999998</v>
      </c>
      <c r="E7">
        <v>2.4049999999999998</v>
      </c>
      <c r="F7">
        <v>2.4340000000000002</v>
      </c>
      <c r="H7">
        <f>AVERAGE(B7,C7,D7,E7,F7)</f>
        <v>2.3994</v>
      </c>
    </row>
    <row r="9" spans="1:8" x14ac:dyDescent="0.55000000000000004">
      <c r="A9" t="s">
        <v>3</v>
      </c>
      <c r="B9" t="s">
        <v>4</v>
      </c>
      <c r="C9" t="s">
        <v>5</v>
      </c>
    </row>
    <row r="10" spans="1:8" x14ac:dyDescent="0.55000000000000004">
      <c r="A10">
        <v>1</v>
      </c>
      <c r="B10">
        <v>210.023</v>
      </c>
      <c r="C10">
        <v>125.60899999999999</v>
      </c>
      <c r="D10">
        <v>135.82900000000001</v>
      </c>
      <c r="E10">
        <v>438.47699999999998</v>
      </c>
      <c r="F10">
        <v>503.33499999999998</v>
      </c>
      <c r="H10">
        <f>AVERAGE(B10,C10,D10,E10,F10)</f>
        <v>282.65459999999996</v>
      </c>
    </row>
    <row r="11" spans="1:8" x14ac:dyDescent="0.55000000000000004">
      <c r="A11">
        <v>2</v>
      </c>
      <c r="B11">
        <v>5.4779999999999998</v>
      </c>
      <c r="C11">
        <v>5.5410000000000004</v>
      </c>
      <c r="D11">
        <v>5.5250000000000004</v>
      </c>
      <c r="E11">
        <v>5.3890000000000002</v>
      </c>
      <c r="F11">
        <v>5.391</v>
      </c>
      <c r="H11">
        <f>AVERAGE(B11,C11,D11,E11,F11)</f>
        <v>5.4647999999999994</v>
      </c>
    </row>
    <row r="12" spans="1:8" x14ac:dyDescent="0.55000000000000004">
      <c r="A12">
        <v>4</v>
      </c>
      <c r="B12">
        <v>5.78</v>
      </c>
      <c r="C12">
        <v>5.3159999999999998</v>
      </c>
      <c r="D12">
        <v>4.6429999999999998</v>
      </c>
      <c r="E12">
        <v>4.7290000000000001</v>
      </c>
      <c r="F12">
        <v>5.1639999999999997</v>
      </c>
      <c r="H12">
        <f>AVERAGE(B12,C12,D12,E12,F12)</f>
        <v>5.1263999999999994</v>
      </c>
    </row>
    <row r="13" spans="1:8" x14ac:dyDescent="0.55000000000000004">
      <c r="A13">
        <v>8</v>
      </c>
      <c r="B13">
        <v>4.7439999999999998</v>
      </c>
      <c r="C13">
        <v>4.7</v>
      </c>
      <c r="D13">
        <v>4.665</v>
      </c>
      <c r="E13">
        <v>4.6790000000000003</v>
      </c>
      <c r="F13">
        <v>4.6180000000000003</v>
      </c>
      <c r="H13">
        <f>AVERAGE(B13,C13,D13,E13,F13)</f>
        <v>4.6811999999999996</v>
      </c>
    </row>
    <row r="14" spans="1:8" x14ac:dyDescent="0.55000000000000004">
      <c r="A14">
        <v>16</v>
      </c>
      <c r="B14" t="s">
        <v>6</v>
      </c>
    </row>
    <row r="16" spans="1:8" x14ac:dyDescent="0.55000000000000004">
      <c r="A16" t="s">
        <v>7</v>
      </c>
      <c r="B16" t="s">
        <v>8</v>
      </c>
      <c r="C16" t="s">
        <v>19</v>
      </c>
    </row>
    <row r="17" spans="1:8" x14ac:dyDescent="0.55000000000000004">
      <c r="A17" t="s">
        <v>9</v>
      </c>
      <c r="B17" t="s">
        <v>14</v>
      </c>
    </row>
    <row r="18" spans="1:8" x14ac:dyDescent="0.55000000000000004">
      <c r="A18" t="s">
        <v>10</v>
      </c>
      <c r="B18">
        <v>0.504</v>
      </c>
      <c r="C18">
        <v>0.48899999999999999</v>
      </c>
      <c r="D18">
        <v>0.48899999999999999</v>
      </c>
      <c r="E18">
        <v>0.498</v>
      </c>
      <c r="F18">
        <v>0.48899999999999999</v>
      </c>
      <c r="H18">
        <f>AVERAGE(B18,C18,D18,E18,F18)</f>
        <v>0.49379999999999996</v>
      </c>
    </row>
    <row r="19" spans="1:8" x14ac:dyDescent="0.55000000000000004">
      <c r="A19" t="s">
        <v>15</v>
      </c>
      <c r="B19">
        <v>0.49299999999999999</v>
      </c>
      <c r="C19">
        <v>0.495</v>
      </c>
      <c r="D19">
        <v>0.48199999999999998</v>
      </c>
      <c r="E19">
        <v>0.497</v>
      </c>
      <c r="F19">
        <v>0.50700000000000001</v>
      </c>
      <c r="H19">
        <f>AVERAGE(B19,C19,D19,E19,F19)</f>
        <v>0.49480000000000002</v>
      </c>
    </row>
    <row r="20" spans="1:8" x14ac:dyDescent="0.55000000000000004">
      <c r="A20" t="s">
        <v>11</v>
      </c>
      <c r="B20">
        <v>0.505</v>
      </c>
      <c r="C20">
        <v>0.48299999999999998</v>
      </c>
      <c r="D20">
        <v>0.49299999999999999</v>
      </c>
      <c r="E20">
        <v>0.501</v>
      </c>
      <c r="F20">
        <v>0.48699999999999999</v>
      </c>
      <c r="H20">
        <f>AVERAGE(B20,C20,D20,E20,F20)</f>
        <v>0.49379999999999996</v>
      </c>
    </row>
    <row r="21" spans="1:8" x14ac:dyDescent="0.55000000000000004">
      <c r="A21" t="s">
        <v>12</v>
      </c>
      <c r="B21">
        <v>0.49199999999999999</v>
      </c>
      <c r="C21">
        <v>0.49</v>
      </c>
      <c r="D21">
        <v>0.48399999999999999</v>
      </c>
      <c r="E21">
        <v>0.49099999999999999</v>
      </c>
      <c r="F21">
        <v>0.49299999999999999</v>
      </c>
      <c r="H21">
        <f>AVERAGE(B21,C21,D21,E21,F21)</f>
        <v>0.48999999999999994</v>
      </c>
    </row>
    <row r="22" spans="1:8" x14ac:dyDescent="0.55000000000000004">
      <c r="A22" t="s">
        <v>13</v>
      </c>
      <c r="B22">
        <v>0.46899999999999997</v>
      </c>
      <c r="C22">
        <v>0.51</v>
      </c>
      <c r="D22">
        <v>0.498</v>
      </c>
      <c r="E22">
        <v>0.48699999999999999</v>
      </c>
      <c r="F22">
        <v>0.501</v>
      </c>
      <c r="H22">
        <f>AVERAGE(B22,C22,D22,E22,F22)</f>
        <v>0.49299999999999999</v>
      </c>
    </row>
    <row r="24" spans="1:8" x14ac:dyDescent="0.55000000000000004">
      <c r="A24" t="s">
        <v>16</v>
      </c>
      <c r="B24" t="s">
        <v>17</v>
      </c>
      <c r="C24" t="s">
        <v>18</v>
      </c>
    </row>
    <row r="25" spans="1:8" x14ac:dyDescent="0.55000000000000004">
      <c r="A25" t="s">
        <v>9</v>
      </c>
      <c r="B25">
        <v>0.501</v>
      </c>
      <c r="C25">
        <v>0.49399999999999999</v>
      </c>
      <c r="D25">
        <v>0.48899999999999999</v>
      </c>
      <c r="E25">
        <v>0.49399999999999999</v>
      </c>
      <c r="F25">
        <v>0.49199999999999999</v>
      </c>
      <c r="H25">
        <f>AVERAGE(B25,C25,D25,E25,F25)</f>
        <v>0.49399999999999994</v>
      </c>
    </row>
    <row r="26" spans="1:8" x14ac:dyDescent="0.55000000000000004">
      <c r="A26" t="s">
        <v>10</v>
      </c>
      <c r="B26">
        <v>0.48199999999999998</v>
      </c>
      <c r="C26">
        <v>0.48499999999999999</v>
      </c>
      <c r="D26">
        <v>0.46700000000000003</v>
      </c>
      <c r="E26">
        <v>0.49</v>
      </c>
      <c r="F26">
        <v>0.47899999999999998</v>
      </c>
      <c r="H26">
        <f>AVERAGE(B26,C26,D26,E26,F26)</f>
        <v>0.48060000000000003</v>
      </c>
    </row>
    <row r="27" spans="1:8" x14ac:dyDescent="0.55000000000000004">
      <c r="A27" t="s">
        <v>15</v>
      </c>
      <c r="B27">
        <v>0.499</v>
      </c>
      <c r="C27">
        <v>0.48099999999999998</v>
      </c>
      <c r="D27">
        <v>0.47699999999999998</v>
      </c>
      <c r="E27">
        <v>0.47699999999999998</v>
      </c>
      <c r="F27">
        <v>0.48099999999999998</v>
      </c>
      <c r="H27">
        <f>AVERAGE(B27,C27,D27,E27,F27)</f>
        <v>0.48299999999999993</v>
      </c>
    </row>
    <row r="28" spans="1:8" x14ac:dyDescent="0.55000000000000004">
      <c r="A28" t="s">
        <v>11</v>
      </c>
      <c r="B28">
        <v>0.48699999999999999</v>
      </c>
      <c r="C28">
        <v>0.48799999999999999</v>
      </c>
      <c r="D28">
        <v>0.49</v>
      </c>
      <c r="E28">
        <v>0.48399999999999999</v>
      </c>
      <c r="F28">
        <v>0.47599999999999998</v>
      </c>
      <c r="H28">
        <f>AVERAGE(B28,C28,D28,E28,F28)</f>
        <v>0.48499999999999999</v>
      </c>
    </row>
    <row r="29" spans="1:8" x14ac:dyDescent="0.55000000000000004">
      <c r="A29" t="s">
        <v>12</v>
      </c>
      <c r="B29">
        <v>0.48199999999999998</v>
      </c>
      <c r="C29">
        <v>0.47399999999999998</v>
      </c>
      <c r="D29">
        <v>0.499</v>
      </c>
      <c r="E29">
        <v>0.49199999999999999</v>
      </c>
      <c r="F29">
        <v>0.49099999999999999</v>
      </c>
      <c r="H29">
        <f>AVERAGE(B29,C29,D29,E29,F29)</f>
        <v>0.48760000000000003</v>
      </c>
    </row>
    <row r="30" spans="1:8" x14ac:dyDescent="0.55000000000000004">
      <c r="A30" t="s">
        <v>13</v>
      </c>
      <c r="B30" t="s">
        <v>20</v>
      </c>
    </row>
    <row r="32" spans="1:8" x14ac:dyDescent="0.55000000000000004">
      <c r="A32" t="s">
        <v>21</v>
      </c>
      <c r="B32" t="s">
        <v>22</v>
      </c>
      <c r="C32" t="s">
        <v>23</v>
      </c>
    </row>
    <row r="33" spans="1:8" x14ac:dyDescent="0.55000000000000004">
      <c r="A33">
        <v>1000</v>
      </c>
      <c r="B33">
        <v>8.0000000000000002E-3</v>
      </c>
      <c r="C33">
        <v>8.0000000000000002E-3</v>
      </c>
      <c r="D33">
        <v>8.0000000000000002E-3</v>
      </c>
      <c r="E33">
        <v>8.0000000000000002E-3</v>
      </c>
      <c r="F33">
        <v>8.9999999999999993E-3</v>
      </c>
      <c r="H33">
        <f>AVERAGE(B33,C33,D33,E33,F33)</f>
        <v>8.2000000000000007E-3</v>
      </c>
    </row>
    <row r="34" spans="1:8" x14ac:dyDescent="0.55000000000000004">
      <c r="A34">
        <v>10000</v>
      </c>
      <c r="B34">
        <v>5.1999999999999998E-2</v>
      </c>
      <c r="C34">
        <v>5.7000000000000002E-2</v>
      </c>
      <c r="D34">
        <v>5.3999999999999999E-2</v>
      </c>
      <c r="E34">
        <v>5.3999999999999999E-2</v>
      </c>
      <c r="F34">
        <v>5.6000000000000001E-2</v>
      </c>
      <c r="H34">
        <f>AVERAGE(B34,C34,D34,E34,F34)</f>
        <v>5.4600000000000003E-2</v>
      </c>
    </row>
    <row r="35" spans="1:8" x14ac:dyDescent="0.55000000000000004">
      <c r="A35">
        <v>100000</v>
      </c>
      <c r="B35">
        <v>0.499</v>
      </c>
      <c r="C35">
        <v>0.47399999999999998</v>
      </c>
      <c r="D35">
        <v>0.497</v>
      </c>
      <c r="E35">
        <v>0.48799999999999999</v>
      </c>
      <c r="F35">
        <v>0.48499999999999999</v>
      </c>
      <c r="H35">
        <f>AVERAGE(B35,C35,D35,E35,F35)</f>
        <v>0.48860000000000003</v>
      </c>
    </row>
    <row r="36" spans="1:8" x14ac:dyDescent="0.55000000000000004">
      <c r="A36">
        <v>1000000</v>
      </c>
      <c r="B36">
        <v>4.9409999999999998</v>
      </c>
      <c r="C36">
        <v>4.91</v>
      </c>
      <c r="D36">
        <v>4.8419999999999996</v>
      </c>
      <c r="E36">
        <v>4.8380000000000001</v>
      </c>
      <c r="F36">
        <v>4.9260000000000002</v>
      </c>
      <c r="H36">
        <f>AVERAGE(B36,C36,D36,E36,F36)</f>
        <v>4.8914</v>
      </c>
    </row>
    <row r="38" spans="1:8" x14ac:dyDescent="0.55000000000000004">
      <c r="A38" t="s">
        <v>21</v>
      </c>
      <c r="B38" t="s">
        <v>17</v>
      </c>
      <c r="C38" t="s">
        <v>15</v>
      </c>
    </row>
    <row r="39" spans="1:8" x14ac:dyDescent="0.55000000000000004">
      <c r="A39">
        <v>1000</v>
      </c>
      <c r="B39">
        <v>8.9999999999999993E-3</v>
      </c>
      <c r="C39">
        <v>0.01</v>
      </c>
      <c r="D39">
        <v>0.01</v>
      </c>
      <c r="E39">
        <v>0.01</v>
      </c>
      <c r="F39">
        <v>0.1</v>
      </c>
      <c r="H39">
        <f>AVERAGE(B39,C39,D39,E39,F39)</f>
        <v>2.7800000000000002E-2</v>
      </c>
    </row>
    <row r="40" spans="1:8" x14ac:dyDescent="0.55000000000000004">
      <c r="A40">
        <v>10000</v>
      </c>
      <c r="B40">
        <v>5.3999999999999999E-2</v>
      </c>
      <c r="C40">
        <v>5.6000000000000001E-2</v>
      </c>
      <c r="D40">
        <v>5.5E-2</v>
      </c>
      <c r="E40">
        <v>5.7000000000000002E-2</v>
      </c>
      <c r="F40">
        <v>5.3999999999999999E-2</v>
      </c>
      <c r="H40">
        <f>AVERAGE(B40,C40,D40,E40,F40)</f>
        <v>5.5200000000000006E-2</v>
      </c>
    </row>
    <row r="41" spans="1:8" x14ac:dyDescent="0.55000000000000004">
      <c r="A41">
        <v>100000</v>
      </c>
      <c r="B41">
        <v>0.49099999999999999</v>
      </c>
      <c r="C41">
        <v>0.49099999999999999</v>
      </c>
      <c r="D41">
        <v>0.49</v>
      </c>
      <c r="E41">
        <v>0.49299999999999999</v>
      </c>
      <c r="F41">
        <v>0.48899999999999999</v>
      </c>
      <c r="H41">
        <f>AVERAGE(B41,C41,D41,E41,F41)</f>
        <v>0.49079999999999996</v>
      </c>
    </row>
    <row r="42" spans="1:8" x14ac:dyDescent="0.55000000000000004">
      <c r="A42">
        <v>1000000</v>
      </c>
      <c r="B42">
        <v>4.7789999999999999</v>
      </c>
      <c r="C42">
        <v>4.7789999999999999</v>
      </c>
      <c r="D42">
        <v>4.6820000000000004</v>
      </c>
      <c r="E42">
        <v>4.7229999999999999</v>
      </c>
      <c r="F42">
        <v>4.7130000000000001</v>
      </c>
      <c r="H42">
        <f>AVERAGE(B42,C42,D42,E42,F42)</f>
        <v>4.7352000000000007</v>
      </c>
    </row>
    <row r="44" spans="1:8" x14ac:dyDescent="0.55000000000000004">
      <c r="A44" t="s">
        <v>27</v>
      </c>
    </row>
    <row r="45" spans="1:8" x14ac:dyDescent="0.55000000000000004">
      <c r="A45" t="s">
        <v>0</v>
      </c>
      <c r="B45" t="s">
        <v>32</v>
      </c>
      <c r="C45" t="s">
        <v>2</v>
      </c>
      <c r="D45" t="s">
        <v>29</v>
      </c>
    </row>
    <row r="46" spans="1:8" x14ac:dyDescent="0.55000000000000004">
      <c r="A46">
        <v>1</v>
      </c>
      <c r="B46" t="s">
        <v>34</v>
      </c>
      <c r="H46">
        <v>0</v>
      </c>
    </row>
    <row r="47" spans="1:8" x14ac:dyDescent="0.55000000000000004">
      <c r="A47">
        <v>2</v>
      </c>
      <c r="B47">
        <v>24.29</v>
      </c>
      <c r="C47">
        <v>22.36</v>
      </c>
      <c r="D47">
        <v>22.4</v>
      </c>
      <c r="E47">
        <v>22.35</v>
      </c>
      <c r="F47">
        <v>22.39</v>
      </c>
      <c r="H47">
        <f>AVERAGE(B47,C47,D47,E47,F47)</f>
        <v>22.758000000000003</v>
      </c>
    </row>
    <row r="48" spans="1:8" x14ac:dyDescent="0.55000000000000004">
      <c r="A48">
        <v>4</v>
      </c>
      <c r="B48">
        <v>21.66</v>
      </c>
      <c r="C48">
        <v>23.56</v>
      </c>
      <c r="D48">
        <v>21.62</v>
      </c>
      <c r="E48">
        <v>21.68</v>
      </c>
      <c r="F48">
        <v>23.96</v>
      </c>
      <c r="H48">
        <f>AVERAGE(B48,C48,D48,E48,F48)</f>
        <v>22.496000000000002</v>
      </c>
    </row>
    <row r="49" spans="1:8" x14ac:dyDescent="0.55000000000000004">
      <c r="A49">
        <v>8</v>
      </c>
      <c r="B49">
        <v>55.38</v>
      </c>
      <c r="C49">
        <v>57.76</v>
      </c>
      <c r="D49">
        <v>55.26</v>
      </c>
      <c r="E49">
        <v>57.38</v>
      </c>
      <c r="F49">
        <v>56.97</v>
      </c>
      <c r="H49">
        <f>AVERAGE(B49,C49,D49,E49,F49)</f>
        <v>56.55</v>
      </c>
    </row>
    <row r="50" spans="1:8" x14ac:dyDescent="0.55000000000000004">
      <c r="A50">
        <v>16</v>
      </c>
      <c r="B50" t="s">
        <v>33</v>
      </c>
      <c r="H50">
        <v>0</v>
      </c>
    </row>
    <row r="52" spans="1:8" x14ac:dyDescent="0.55000000000000004">
      <c r="A52" t="s">
        <v>3</v>
      </c>
      <c r="B52" t="s">
        <v>4</v>
      </c>
      <c r="C52" t="s">
        <v>5</v>
      </c>
      <c r="D52" t="s">
        <v>31</v>
      </c>
    </row>
    <row r="53" spans="1:8" x14ac:dyDescent="0.55000000000000004">
      <c r="A53">
        <v>1</v>
      </c>
      <c r="B53">
        <v>264.23</v>
      </c>
      <c r="C53">
        <v>242.09</v>
      </c>
      <c r="D53">
        <v>245.99</v>
      </c>
      <c r="E53">
        <v>241.62</v>
      </c>
      <c r="F53">
        <v>240.67</v>
      </c>
      <c r="H53">
        <f>AVERAGE(B53,C53,D53,E53,F53)</f>
        <v>246.92000000000002</v>
      </c>
    </row>
    <row r="54" spans="1:8" x14ac:dyDescent="0.55000000000000004">
      <c r="A54">
        <v>2</v>
      </c>
      <c r="B54">
        <v>124.95</v>
      </c>
      <c r="C54">
        <v>134.85</v>
      </c>
      <c r="D54">
        <v>120.89</v>
      </c>
      <c r="E54">
        <v>121.75</v>
      </c>
      <c r="F54">
        <v>119.38</v>
      </c>
      <c r="H54">
        <f>AVERAGE(B54,C54,D54,E54,F54)</f>
        <v>124.36399999999999</v>
      </c>
    </row>
    <row r="55" spans="1:8" x14ac:dyDescent="0.55000000000000004">
      <c r="A55">
        <v>4</v>
      </c>
      <c r="B55">
        <v>129.54</v>
      </c>
      <c r="C55">
        <v>130.77000000000001</v>
      </c>
      <c r="D55">
        <v>134.13</v>
      </c>
      <c r="E55">
        <v>126.21</v>
      </c>
      <c r="F55">
        <v>132.36000000000001</v>
      </c>
      <c r="H55">
        <f>AVERAGE(B55,C55,D55,E55,F55)</f>
        <v>130.602</v>
      </c>
    </row>
    <row r="56" spans="1:8" x14ac:dyDescent="0.55000000000000004">
      <c r="A56">
        <v>8</v>
      </c>
      <c r="B56">
        <v>219.17</v>
      </c>
      <c r="C56">
        <v>235.9</v>
      </c>
      <c r="D56">
        <v>230.45</v>
      </c>
      <c r="E56">
        <v>251.66</v>
      </c>
      <c r="F56">
        <v>244.62</v>
      </c>
      <c r="H56">
        <f>AVERAGE(B56,C56,D56,E56,F56)</f>
        <v>236.35999999999999</v>
      </c>
    </row>
    <row r="57" spans="1:8" x14ac:dyDescent="0.55000000000000004">
      <c r="A57">
        <v>16</v>
      </c>
      <c r="B57" t="s">
        <v>33</v>
      </c>
      <c r="H57">
        <v>0</v>
      </c>
    </row>
    <row r="59" spans="1:8" x14ac:dyDescent="0.55000000000000004">
      <c r="A59" t="s">
        <v>7</v>
      </c>
      <c r="B59" t="s">
        <v>8</v>
      </c>
      <c r="C59" t="s">
        <v>19</v>
      </c>
      <c r="D59" t="s">
        <v>29</v>
      </c>
    </row>
    <row r="60" spans="1:8" x14ac:dyDescent="0.55000000000000004">
      <c r="A60" t="s">
        <v>9</v>
      </c>
      <c r="B60">
        <v>2.4700000000000002</v>
      </c>
      <c r="C60">
        <v>4.33</v>
      </c>
      <c r="D60">
        <v>2.37</v>
      </c>
      <c r="E60">
        <v>2.39</v>
      </c>
      <c r="F60">
        <v>4.37</v>
      </c>
      <c r="H60">
        <f>AVERAGE(B60,C60,D60,E60,F60)</f>
        <v>3.1860000000000008</v>
      </c>
    </row>
    <row r="61" spans="1:8" x14ac:dyDescent="0.55000000000000004">
      <c r="A61" t="s">
        <v>10</v>
      </c>
      <c r="B61">
        <v>4.2699999999999996</v>
      </c>
      <c r="C61">
        <v>2.36</v>
      </c>
      <c r="D61">
        <v>3.9</v>
      </c>
      <c r="E61">
        <v>2.35</v>
      </c>
      <c r="F61">
        <v>2.39</v>
      </c>
      <c r="H61">
        <f>AVERAGE(B61,C61,D61,E61,F61)</f>
        <v>3.0539999999999998</v>
      </c>
    </row>
    <row r="62" spans="1:8" x14ac:dyDescent="0.55000000000000004">
      <c r="A62" t="s">
        <v>15</v>
      </c>
      <c r="B62">
        <v>2.35</v>
      </c>
      <c r="C62">
        <v>2.34</v>
      </c>
      <c r="D62">
        <v>3.9</v>
      </c>
      <c r="E62">
        <v>2.38</v>
      </c>
      <c r="F62">
        <v>4.29</v>
      </c>
      <c r="H62">
        <f>AVERAGE(B62,C62,D62,E62,F62)</f>
        <v>3.0519999999999996</v>
      </c>
    </row>
    <row r="63" spans="1:8" x14ac:dyDescent="0.55000000000000004">
      <c r="A63" t="s">
        <v>11</v>
      </c>
      <c r="B63">
        <v>4.26</v>
      </c>
      <c r="C63">
        <v>2.3199999999999998</v>
      </c>
      <c r="D63">
        <v>4.1500000000000004</v>
      </c>
      <c r="E63">
        <v>2.3199999999999998</v>
      </c>
      <c r="F63">
        <v>4.13</v>
      </c>
      <c r="H63">
        <f>AVERAGE(B63,C63,D63,E63,F63)</f>
        <v>3.4359999999999999</v>
      </c>
    </row>
    <row r="64" spans="1:8" x14ac:dyDescent="0.55000000000000004">
      <c r="A64" t="s">
        <v>12</v>
      </c>
      <c r="B64">
        <v>2.3199999999999998</v>
      </c>
      <c r="C64">
        <v>2.37</v>
      </c>
      <c r="D64">
        <v>4.33</v>
      </c>
      <c r="E64">
        <v>3.97</v>
      </c>
      <c r="F64">
        <v>2.35</v>
      </c>
      <c r="H64">
        <f>AVERAGE(B64,C64,D64,E64,F64)</f>
        <v>3.0680000000000001</v>
      </c>
    </row>
    <row r="65" spans="1:8" x14ac:dyDescent="0.55000000000000004">
      <c r="A65" t="s">
        <v>13</v>
      </c>
      <c r="B65">
        <v>2.3199999999999998</v>
      </c>
      <c r="C65">
        <v>4.1399999999999997</v>
      </c>
      <c r="D65">
        <v>3.76</v>
      </c>
      <c r="E65">
        <v>3.68</v>
      </c>
      <c r="F65">
        <v>2.35</v>
      </c>
      <c r="H65">
        <f>AVERAGE(B65,C65,D65,E65,F65)</f>
        <v>3.25</v>
      </c>
    </row>
    <row r="67" spans="1:8" x14ac:dyDescent="0.55000000000000004">
      <c r="A67" t="s">
        <v>16</v>
      </c>
      <c r="B67" t="s">
        <v>35</v>
      </c>
      <c r="C67" t="s">
        <v>18</v>
      </c>
      <c r="D67" t="s">
        <v>29</v>
      </c>
    </row>
    <row r="68" spans="1:8" x14ac:dyDescent="0.55000000000000004">
      <c r="A68" t="s">
        <v>9</v>
      </c>
      <c r="B68" t="s">
        <v>38</v>
      </c>
      <c r="H68">
        <v>0</v>
      </c>
    </row>
    <row r="69" spans="1:8" x14ac:dyDescent="0.55000000000000004">
      <c r="A69" t="s">
        <v>10</v>
      </c>
      <c r="B69" t="s">
        <v>38</v>
      </c>
      <c r="H69">
        <v>0</v>
      </c>
    </row>
    <row r="70" spans="1:8" x14ac:dyDescent="0.55000000000000004">
      <c r="A70" t="s">
        <v>15</v>
      </c>
      <c r="B70">
        <v>9.2100000000000009</v>
      </c>
      <c r="C70">
        <v>5.96</v>
      </c>
      <c r="D70">
        <v>7.4</v>
      </c>
      <c r="E70">
        <v>6</v>
      </c>
      <c r="F70">
        <v>5.99</v>
      </c>
      <c r="H70">
        <f>AVERAGE(B70,C70,D70,E70,F70)</f>
        <v>6.9120000000000008</v>
      </c>
    </row>
    <row r="71" spans="1:8" x14ac:dyDescent="0.55000000000000004">
      <c r="A71" t="s">
        <v>11</v>
      </c>
      <c r="B71">
        <v>7.84</v>
      </c>
      <c r="C71">
        <v>7.72</v>
      </c>
      <c r="D71">
        <v>5.97</v>
      </c>
      <c r="E71">
        <v>7.72</v>
      </c>
      <c r="F71">
        <v>7.73</v>
      </c>
      <c r="H71">
        <f>AVERAGE(B71,C71,D71,E71,F71)</f>
        <v>7.395999999999999</v>
      </c>
    </row>
    <row r="72" spans="1:8" x14ac:dyDescent="0.55000000000000004">
      <c r="A72" t="s">
        <v>12</v>
      </c>
      <c r="B72">
        <v>5.95</v>
      </c>
      <c r="C72">
        <v>7.59</v>
      </c>
      <c r="D72">
        <v>5.97</v>
      </c>
      <c r="E72">
        <v>7.72</v>
      </c>
      <c r="F72">
        <v>7.38</v>
      </c>
      <c r="H72">
        <f>AVERAGE(B72,C72,D72,E72,F72)</f>
        <v>6.9219999999999997</v>
      </c>
    </row>
    <row r="73" spans="1:8" x14ac:dyDescent="0.55000000000000004">
      <c r="A73" t="s">
        <v>13</v>
      </c>
      <c r="B73">
        <v>7.61</v>
      </c>
      <c r="C73">
        <v>5.69</v>
      </c>
      <c r="D73">
        <v>5.97</v>
      </c>
      <c r="E73">
        <v>7.87</v>
      </c>
      <c r="F73">
        <v>6</v>
      </c>
      <c r="H73">
        <f>AVERAGE(B73,C73,D73,E73,F73)</f>
        <v>6.6280000000000001</v>
      </c>
    </row>
    <row r="75" spans="1:8" x14ac:dyDescent="0.55000000000000004">
      <c r="A75" t="s">
        <v>21</v>
      </c>
      <c r="B75" t="s">
        <v>36</v>
      </c>
      <c r="C75" t="s">
        <v>15</v>
      </c>
      <c r="D75" t="s">
        <v>29</v>
      </c>
    </row>
    <row r="76" spans="1:8" x14ac:dyDescent="0.55000000000000004">
      <c r="A76">
        <v>1000</v>
      </c>
      <c r="B76">
        <v>2.15</v>
      </c>
      <c r="C76">
        <v>3.67</v>
      </c>
      <c r="D76">
        <v>2.0099999999999998</v>
      </c>
      <c r="E76">
        <v>3.69</v>
      </c>
      <c r="F76">
        <v>2.34</v>
      </c>
      <c r="H76">
        <f>AVERAGE(B76,C76,D76,E76,F76)</f>
        <v>2.7719999999999998</v>
      </c>
    </row>
    <row r="77" spans="1:8" x14ac:dyDescent="0.55000000000000004">
      <c r="A77">
        <v>10000</v>
      </c>
      <c r="B77">
        <v>3.15</v>
      </c>
      <c r="C77">
        <v>3.68</v>
      </c>
      <c r="D77">
        <v>4</v>
      </c>
      <c r="E77">
        <v>2.35</v>
      </c>
      <c r="F77">
        <v>4.3</v>
      </c>
      <c r="H77">
        <f>AVERAGE(B77,C77,D77,E77,F77)</f>
        <v>3.496</v>
      </c>
    </row>
    <row r="78" spans="1:8" x14ac:dyDescent="0.55000000000000004">
      <c r="A78">
        <v>100000</v>
      </c>
      <c r="B78">
        <v>7.07</v>
      </c>
      <c r="C78">
        <v>6.14</v>
      </c>
      <c r="D78">
        <v>7.37</v>
      </c>
      <c r="E78">
        <v>6.22</v>
      </c>
      <c r="F78">
        <v>8.09</v>
      </c>
      <c r="H78">
        <f>AVERAGE(B78,C78,D78,E78,F78)</f>
        <v>6.9779999999999998</v>
      </c>
    </row>
    <row r="79" spans="1:8" x14ac:dyDescent="0.55000000000000004">
      <c r="A79">
        <v>1000000</v>
      </c>
      <c r="B79" t="s">
        <v>39</v>
      </c>
      <c r="H79">
        <v>0</v>
      </c>
    </row>
    <row r="81" spans="1:8" x14ac:dyDescent="0.55000000000000004">
      <c r="A81" t="s">
        <v>21</v>
      </c>
      <c r="B81" t="s">
        <v>35</v>
      </c>
      <c r="C81" t="s">
        <v>23</v>
      </c>
      <c r="D81" t="s">
        <v>29</v>
      </c>
    </row>
    <row r="82" spans="1:8" x14ac:dyDescent="0.55000000000000004">
      <c r="A82">
        <v>1000</v>
      </c>
      <c r="B82">
        <v>4.49</v>
      </c>
      <c r="C82">
        <v>2.15</v>
      </c>
      <c r="D82">
        <v>2.15</v>
      </c>
      <c r="E82">
        <v>3.89</v>
      </c>
      <c r="F82">
        <v>3.62</v>
      </c>
      <c r="H82">
        <f>AVERAGE(B82,C82,D82,E82,F82)</f>
        <v>3.2600000000000002</v>
      </c>
    </row>
    <row r="83" spans="1:8" x14ac:dyDescent="0.55000000000000004">
      <c r="A83">
        <v>10000</v>
      </c>
      <c r="B83">
        <v>3.98</v>
      </c>
      <c r="C83">
        <v>4.6500000000000004</v>
      </c>
      <c r="D83">
        <v>4.6500000000000004</v>
      </c>
      <c r="E83">
        <v>4.4800000000000004</v>
      </c>
      <c r="F83">
        <v>4.49</v>
      </c>
      <c r="H83">
        <f>AVERAGE(B83,C83,D83,E83,F83)</f>
        <v>4.45</v>
      </c>
    </row>
    <row r="84" spans="1:8" x14ac:dyDescent="0.55000000000000004">
      <c r="A84">
        <v>100000</v>
      </c>
      <c r="B84">
        <v>11.21</v>
      </c>
      <c r="C84">
        <v>10.199999999999999</v>
      </c>
      <c r="D84">
        <v>11.14</v>
      </c>
      <c r="E84">
        <v>11.16</v>
      </c>
      <c r="F84">
        <v>11.08</v>
      </c>
      <c r="H84">
        <f>AVERAGE(B84,C84,D84,E84,F84)</f>
        <v>10.957999999999998</v>
      </c>
    </row>
    <row r="85" spans="1:8" x14ac:dyDescent="0.55000000000000004">
      <c r="A85">
        <v>1000000</v>
      </c>
      <c r="B85" t="s">
        <v>40</v>
      </c>
      <c r="H85">
        <v>0</v>
      </c>
    </row>
    <row r="87" spans="1:8" x14ac:dyDescent="0.55000000000000004">
      <c r="A87" t="s">
        <v>28</v>
      </c>
      <c r="B87" t="s">
        <v>37</v>
      </c>
      <c r="C87" t="s">
        <v>23</v>
      </c>
      <c r="D87" t="s">
        <v>41</v>
      </c>
    </row>
    <row r="88" spans="1:8" x14ac:dyDescent="0.55000000000000004">
      <c r="A88">
        <v>1</v>
      </c>
      <c r="B88">
        <v>3.92</v>
      </c>
      <c r="C88">
        <v>2.59</v>
      </c>
      <c r="D88">
        <v>2.71</v>
      </c>
      <c r="E88">
        <v>2.71</v>
      </c>
      <c r="F88">
        <v>2.61</v>
      </c>
      <c r="H88">
        <f>AVERAGE(B88,C88,D88,E88,F88)</f>
        <v>2.9079999999999999</v>
      </c>
    </row>
    <row r="89" spans="1:8" x14ac:dyDescent="0.55000000000000004">
      <c r="A89">
        <v>2</v>
      </c>
      <c r="B89" t="s">
        <v>43</v>
      </c>
      <c r="H89">
        <v>0</v>
      </c>
    </row>
    <row r="90" spans="1:8" x14ac:dyDescent="0.55000000000000004">
      <c r="A90">
        <v>4</v>
      </c>
      <c r="B90" t="s">
        <v>43</v>
      </c>
      <c r="H90">
        <v>0</v>
      </c>
    </row>
    <row r="91" spans="1:8" x14ac:dyDescent="0.55000000000000004">
      <c r="A91">
        <v>8</v>
      </c>
      <c r="B91" t="s">
        <v>43</v>
      </c>
      <c r="H91">
        <v>0</v>
      </c>
    </row>
    <row r="93" spans="1:8" x14ac:dyDescent="0.55000000000000004">
      <c r="A93" t="s">
        <v>28</v>
      </c>
      <c r="B93" t="s">
        <v>22</v>
      </c>
      <c r="C93" t="s">
        <v>15</v>
      </c>
      <c r="D93" t="s">
        <v>42</v>
      </c>
    </row>
    <row r="94" spans="1:8" x14ac:dyDescent="0.55000000000000004">
      <c r="A94">
        <v>1</v>
      </c>
      <c r="B94">
        <v>1.86</v>
      </c>
      <c r="C94">
        <v>1.85</v>
      </c>
      <c r="D94">
        <v>1.86</v>
      </c>
      <c r="E94">
        <v>1.99</v>
      </c>
      <c r="F94">
        <v>1.89</v>
      </c>
      <c r="H94">
        <f>AVERAGE(B94,C94,D94,E94,F94)</f>
        <v>1.8900000000000001</v>
      </c>
    </row>
    <row r="95" spans="1:8" x14ac:dyDescent="0.55000000000000004">
      <c r="A95">
        <v>2</v>
      </c>
      <c r="B95">
        <v>2.41</v>
      </c>
      <c r="C95">
        <v>4.1900000000000004</v>
      </c>
      <c r="D95">
        <v>4.25</v>
      </c>
      <c r="E95">
        <v>4.2699999999999996</v>
      </c>
      <c r="F95">
        <v>4.1399999999999997</v>
      </c>
      <c r="H95">
        <f>AVERAGE(B95,C95,D95,E95,F95)</f>
        <v>3.8520000000000003</v>
      </c>
    </row>
    <row r="96" spans="1:8" x14ac:dyDescent="0.55000000000000004">
      <c r="A96">
        <v>4</v>
      </c>
      <c r="B96">
        <v>4.59</v>
      </c>
      <c r="C96">
        <v>4.59</v>
      </c>
      <c r="D96">
        <v>4.6399999999999997</v>
      </c>
      <c r="E96">
        <v>4.6399999999999997</v>
      </c>
      <c r="F96">
        <v>4.75</v>
      </c>
      <c r="H96">
        <f>AVERAGE(B96,C96,D96,E96,F96)</f>
        <v>4.6420000000000003</v>
      </c>
    </row>
    <row r="97" spans="1:8" x14ac:dyDescent="0.55000000000000004">
      <c r="A97">
        <v>8</v>
      </c>
      <c r="B97" t="s">
        <v>44</v>
      </c>
      <c r="H97">
        <v>0</v>
      </c>
    </row>
    <row r="99" spans="1:8" x14ac:dyDescent="0.55000000000000004">
      <c r="A99" t="s">
        <v>45</v>
      </c>
    </row>
    <row r="100" spans="1:8" x14ac:dyDescent="0.55000000000000004">
      <c r="A100" t="s">
        <v>46</v>
      </c>
      <c r="B100" t="s">
        <v>52</v>
      </c>
      <c r="C100" t="s">
        <v>47</v>
      </c>
    </row>
    <row r="101" spans="1:8" x14ac:dyDescent="0.55000000000000004">
      <c r="A101">
        <v>1</v>
      </c>
      <c r="B101">
        <v>99.47</v>
      </c>
      <c r="C101">
        <v>99.36</v>
      </c>
      <c r="D101">
        <v>103.13</v>
      </c>
      <c r="E101">
        <v>84.98</v>
      </c>
      <c r="F101">
        <v>98.9</v>
      </c>
      <c r="H101">
        <f>AVERAGE(B101,C101,D101,E101,F101)</f>
        <v>97.168000000000006</v>
      </c>
    </row>
    <row r="102" spans="1:8" x14ac:dyDescent="0.55000000000000004">
      <c r="A102">
        <v>2</v>
      </c>
      <c r="B102">
        <v>2.74</v>
      </c>
      <c r="C102">
        <v>2.71</v>
      </c>
      <c r="D102">
        <v>2.25</v>
      </c>
      <c r="E102">
        <v>2.2999999999999998</v>
      </c>
      <c r="F102">
        <v>2.71</v>
      </c>
      <c r="H102">
        <f>AVERAGE(B102,C102,D102,E102,F102)</f>
        <v>2.5420000000000003</v>
      </c>
    </row>
    <row r="103" spans="1:8" x14ac:dyDescent="0.55000000000000004">
      <c r="A103">
        <v>4</v>
      </c>
      <c r="B103">
        <v>2.33</v>
      </c>
      <c r="C103">
        <v>2.4500000000000002</v>
      </c>
      <c r="D103">
        <v>2.44</v>
      </c>
      <c r="E103">
        <v>2.3199999999999998</v>
      </c>
      <c r="F103">
        <v>2.29</v>
      </c>
      <c r="H103">
        <f>AVERAGE(B103,C103,D103,E103,F103)</f>
        <v>2.3660000000000005</v>
      </c>
    </row>
    <row r="104" spans="1:8" x14ac:dyDescent="0.55000000000000004">
      <c r="A104">
        <v>8</v>
      </c>
      <c r="B104">
        <v>2.02</v>
      </c>
      <c r="C104">
        <v>2.0099999999999998</v>
      </c>
      <c r="D104">
        <v>2.04</v>
      </c>
      <c r="E104">
        <v>2.08</v>
      </c>
      <c r="F104">
        <v>2.0699999999999998</v>
      </c>
      <c r="H104">
        <f>AVERAGE(B104,C104,D104,E104,F104)</f>
        <v>2.0439999999999996</v>
      </c>
    </row>
    <row r="105" spans="1:8" x14ac:dyDescent="0.55000000000000004">
      <c r="A105">
        <v>16</v>
      </c>
      <c r="B105">
        <v>2.02</v>
      </c>
      <c r="C105">
        <v>2.09</v>
      </c>
      <c r="D105">
        <v>2.09</v>
      </c>
      <c r="E105">
        <v>2.08</v>
      </c>
      <c r="F105">
        <v>2.08</v>
      </c>
      <c r="H105">
        <f>AVERAGE(B105,C105,D105,E105,F105)</f>
        <v>2.0720000000000001</v>
      </c>
    </row>
    <row r="107" spans="1:8" x14ac:dyDescent="0.55000000000000004">
      <c r="A107" t="s">
        <v>46</v>
      </c>
      <c r="B107" t="s">
        <v>53</v>
      </c>
      <c r="C107" t="s">
        <v>30</v>
      </c>
    </row>
    <row r="108" spans="1:8" x14ac:dyDescent="0.55000000000000004">
      <c r="A108">
        <v>1</v>
      </c>
      <c r="B108">
        <v>8.77</v>
      </c>
      <c r="C108">
        <v>8.75</v>
      </c>
      <c r="D108">
        <v>8.77</v>
      </c>
      <c r="E108">
        <v>7.1</v>
      </c>
      <c r="F108">
        <v>6.98</v>
      </c>
      <c r="H108">
        <f>AVERAGE(B108,C108,D108,E108,F108)</f>
        <v>8.0740000000000016</v>
      </c>
    </row>
    <row r="109" spans="1:8" x14ac:dyDescent="0.55000000000000004">
      <c r="A109">
        <v>2</v>
      </c>
      <c r="B109">
        <v>6.21</v>
      </c>
      <c r="C109">
        <v>6.2</v>
      </c>
      <c r="D109">
        <v>6.16</v>
      </c>
      <c r="E109">
        <v>6.15</v>
      </c>
      <c r="F109">
        <v>6.1</v>
      </c>
      <c r="H109">
        <f>AVERAGE(B109,C109,D109,E109,F109)</f>
        <v>6.1639999999999997</v>
      </c>
    </row>
    <row r="110" spans="1:8" x14ac:dyDescent="0.55000000000000004">
      <c r="A110">
        <v>4</v>
      </c>
      <c r="B110">
        <v>4.45</v>
      </c>
      <c r="C110">
        <v>4.18</v>
      </c>
      <c r="D110">
        <v>4.2</v>
      </c>
      <c r="E110">
        <v>4.21</v>
      </c>
      <c r="F110">
        <v>4.1900000000000004</v>
      </c>
      <c r="H110">
        <f>AVERAGE(B110,C110,D110,E110,F110)</f>
        <v>4.2460000000000004</v>
      </c>
    </row>
    <row r="111" spans="1:8" x14ac:dyDescent="0.55000000000000004">
      <c r="A111">
        <v>8</v>
      </c>
      <c r="B111" t="s">
        <v>55</v>
      </c>
      <c r="H111">
        <v>0</v>
      </c>
    </row>
    <row r="112" spans="1:8" x14ac:dyDescent="0.55000000000000004">
      <c r="A112">
        <v>16</v>
      </c>
      <c r="B112" t="s">
        <v>55</v>
      </c>
      <c r="H112">
        <v>0</v>
      </c>
    </row>
    <row r="114" spans="1:8" x14ac:dyDescent="0.55000000000000004">
      <c r="A114" t="s">
        <v>7</v>
      </c>
      <c r="B114" t="s">
        <v>49</v>
      </c>
      <c r="C114" t="s">
        <v>30</v>
      </c>
    </row>
    <row r="115" spans="1:8" x14ac:dyDescent="0.55000000000000004">
      <c r="A115" t="s">
        <v>9</v>
      </c>
      <c r="B115" t="s">
        <v>56</v>
      </c>
      <c r="H115">
        <v>0</v>
      </c>
    </row>
    <row r="116" spans="1:8" x14ac:dyDescent="0.55000000000000004">
      <c r="A116" t="s">
        <v>10</v>
      </c>
      <c r="B116" t="s">
        <v>56</v>
      </c>
      <c r="H116">
        <v>0</v>
      </c>
    </row>
    <row r="117" spans="1:8" x14ac:dyDescent="0.55000000000000004">
      <c r="A117" t="s">
        <v>15</v>
      </c>
      <c r="B117">
        <v>4.2699999999999996</v>
      </c>
      <c r="C117">
        <v>4.34</v>
      </c>
      <c r="D117">
        <v>4.37</v>
      </c>
      <c r="E117">
        <v>4.41</v>
      </c>
      <c r="F117">
        <v>4.32</v>
      </c>
      <c r="H117">
        <f>AVERAGE(B117,C117,D117,E117,F117)</f>
        <v>4.3420000000000005</v>
      </c>
    </row>
    <row r="118" spans="1:8" x14ac:dyDescent="0.55000000000000004">
      <c r="A118" t="s">
        <v>11</v>
      </c>
      <c r="B118">
        <v>4.4000000000000004</v>
      </c>
      <c r="C118">
        <v>4.25</v>
      </c>
      <c r="D118">
        <v>4.37</v>
      </c>
      <c r="E118">
        <v>4.3600000000000003</v>
      </c>
      <c r="F118">
        <v>4.25</v>
      </c>
      <c r="H118">
        <f>AVERAGE(B118,C118,D118,E118,F118)</f>
        <v>4.3259999999999996</v>
      </c>
    </row>
    <row r="119" spans="1:8" x14ac:dyDescent="0.55000000000000004">
      <c r="A119" t="s">
        <v>12</v>
      </c>
      <c r="B119">
        <v>4.51</v>
      </c>
      <c r="C119">
        <v>4.2</v>
      </c>
      <c r="D119">
        <v>4.25</v>
      </c>
      <c r="E119">
        <v>4.26</v>
      </c>
      <c r="F119">
        <v>4.22</v>
      </c>
      <c r="H119">
        <f>AVERAGE(B119,C119,D119,E119,F119)</f>
        <v>4.2879999999999994</v>
      </c>
    </row>
    <row r="120" spans="1:8" x14ac:dyDescent="0.55000000000000004">
      <c r="A120" t="s">
        <v>13</v>
      </c>
      <c r="B120">
        <v>4.04</v>
      </c>
      <c r="C120">
        <v>4.18</v>
      </c>
      <c r="D120">
        <v>4.04</v>
      </c>
      <c r="E120">
        <v>4.03</v>
      </c>
      <c r="F120">
        <v>4.05</v>
      </c>
      <c r="H120">
        <f>AVERAGE(B120,C120,D120,E120,F120)</f>
        <v>4.0679999999999996</v>
      </c>
    </row>
    <row r="122" spans="1:8" x14ac:dyDescent="0.55000000000000004">
      <c r="A122" t="s">
        <v>7</v>
      </c>
      <c r="B122" t="s">
        <v>50</v>
      </c>
      <c r="C122" t="s">
        <v>41</v>
      </c>
    </row>
    <row r="123" spans="1:8" x14ac:dyDescent="0.55000000000000004">
      <c r="A123" t="s">
        <v>9</v>
      </c>
      <c r="B123" t="s">
        <v>57</v>
      </c>
      <c r="H123">
        <v>0</v>
      </c>
    </row>
    <row r="124" spans="1:8" x14ac:dyDescent="0.55000000000000004">
      <c r="A124" t="s">
        <v>10</v>
      </c>
      <c r="B124" t="s">
        <v>57</v>
      </c>
      <c r="H124">
        <v>0</v>
      </c>
    </row>
    <row r="125" spans="1:8" x14ac:dyDescent="0.55000000000000004">
      <c r="A125" t="s">
        <v>15</v>
      </c>
      <c r="B125">
        <v>0.5</v>
      </c>
      <c r="C125">
        <v>0.49</v>
      </c>
      <c r="D125">
        <v>0.49</v>
      </c>
      <c r="E125">
        <v>0.49</v>
      </c>
      <c r="F125">
        <v>0.49</v>
      </c>
      <c r="H125">
        <f>AVERAGE(B125,C125,D125,E125,F125)</f>
        <v>0.49199999999999999</v>
      </c>
    </row>
    <row r="126" spans="1:8" x14ac:dyDescent="0.55000000000000004">
      <c r="A126" t="s">
        <v>11</v>
      </c>
      <c r="B126">
        <v>0.49</v>
      </c>
      <c r="C126">
        <v>0.49</v>
      </c>
      <c r="D126">
        <v>0.49</v>
      </c>
      <c r="E126">
        <v>0.49</v>
      </c>
      <c r="F126">
        <v>0.49</v>
      </c>
      <c r="H126">
        <f>AVERAGE(B126,C126,D126,E126,F126)</f>
        <v>0.49000000000000005</v>
      </c>
    </row>
    <row r="127" spans="1:8" x14ac:dyDescent="0.55000000000000004">
      <c r="A127" t="s">
        <v>12</v>
      </c>
      <c r="B127">
        <v>0.49</v>
      </c>
      <c r="C127">
        <v>0.49</v>
      </c>
      <c r="D127">
        <v>0.49</v>
      </c>
      <c r="E127">
        <v>0.48</v>
      </c>
      <c r="F127">
        <v>0.49</v>
      </c>
      <c r="H127">
        <f>AVERAGE(B127,C127,D127,E127,F127)</f>
        <v>0.48799999999999999</v>
      </c>
    </row>
    <row r="128" spans="1:8" x14ac:dyDescent="0.55000000000000004">
      <c r="A128" t="s">
        <v>13</v>
      </c>
      <c r="B128">
        <v>0.49</v>
      </c>
      <c r="C128">
        <v>0.49</v>
      </c>
      <c r="D128">
        <v>0.49</v>
      </c>
      <c r="E128">
        <v>0.49</v>
      </c>
      <c r="F128">
        <v>0.49</v>
      </c>
      <c r="H128">
        <f>AVERAGE(B128,C128,D128,E128,F128)</f>
        <v>0.49000000000000005</v>
      </c>
    </row>
    <row r="130" spans="1:8" x14ac:dyDescent="0.55000000000000004">
      <c r="A130" t="s">
        <v>21</v>
      </c>
      <c r="B130" t="s">
        <v>51</v>
      </c>
      <c r="C130" t="s">
        <v>15</v>
      </c>
    </row>
    <row r="131" spans="1:8" x14ac:dyDescent="0.55000000000000004">
      <c r="A131">
        <v>1000</v>
      </c>
      <c r="B131">
        <v>0.01</v>
      </c>
      <c r="C131">
        <v>0.02</v>
      </c>
      <c r="D131">
        <v>0.01</v>
      </c>
      <c r="E131">
        <v>0.01</v>
      </c>
      <c r="F131">
        <v>0.1</v>
      </c>
      <c r="H131">
        <f>AVERAGE(B131,C131,D131,E131,F131)</f>
        <v>3.0000000000000006E-2</v>
      </c>
    </row>
    <row r="132" spans="1:8" x14ac:dyDescent="0.55000000000000004">
      <c r="A132">
        <v>10000</v>
      </c>
      <c r="B132">
        <v>0.05</v>
      </c>
      <c r="C132">
        <v>0.11</v>
      </c>
      <c r="D132">
        <v>0.05</v>
      </c>
      <c r="E132">
        <v>0.05</v>
      </c>
      <c r="F132">
        <v>0.05</v>
      </c>
      <c r="H132">
        <f>AVERAGE(B132,C132,D132,E132,F132)</f>
        <v>6.2E-2</v>
      </c>
    </row>
    <row r="133" spans="1:8" x14ac:dyDescent="0.55000000000000004">
      <c r="A133">
        <v>100000</v>
      </c>
      <c r="B133">
        <v>0.47</v>
      </c>
      <c r="C133">
        <v>0.53</v>
      </c>
      <c r="D133">
        <v>0.47</v>
      </c>
      <c r="E133">
        <v>0.47</v>
      </c>
      <c r="F133">
        <v>0.47</v>
      </c>
      <c r="H133">
        <f>AVERAGE(B133,C133,D133,E133,F133)</f>
        <v>0.48200000000000004</v>
      </c>
    </row>
    <row r="134" spans="1:8" x14ac:dyDescent="0.55000000000000004">
      <c r="A134">
        <v>1000000</v>
      </c>
      <c r="B134" t="s">
        <v>56</v>
      </c>
      <c r="H134">
        <v>0</v>
      </c>
    </row>
    <row r="136" spans="1:8" x14ac:dyDescent="0.55000000000000004">
      <c r="A136" t="s">
        <v>21</v>
      </c>
      <c r="B136" t="s">
        <v>54</v>
      </c>
      <c r="C136" t="s">
        <v>48</v>
      </c>
    </row>
    <row r="137" spans="1:8" x14ac:dyDescent="0.55000000000000004">
      <c r="A137">
        <v>1000</v>
      </c>
      <c r="B137">
        <v>0</v>
      </c>
      <c r="C137">
        <v>0</v>
      </c>
      <c r="D137">
        <v>0.17</v>
      </c>
      <c r="E137">
        <v>0</v>
      </c>
      <c r="F137">
        <v>0</v>
      </c>
      <c r="H137">
        <f>AVERAGE(B137,C137,D137,E137,F137)</f>
        <v>3.4000000000000002E-2</v>
      </c>
    </row>
    <row r="138" spans="1:8" x14ac:dyDescent="0.55000000000000004">
      <c r="A138">
        <v>10000</v>
      </c>
      <c r="B138">
        <v>0.17</v>
      </c>
      <c r="C138">
        <v>0.1</v>
      </c>
      <c r="D138">
        <v>0.06</v>
      </c>
      <c r="E138">
        <v>0.06</v>
      </c>
      <c r="F138">
        <v>0.06</v>
      </c>
      <c r="H138">
        <f>AVERAGE(B138,C138,D138,E138,F138)</f>
        <v>0.09</v>
      </c>
    </row>
    <row r="139" spans="1:8" x14ac:dyDescent="0.55000000000000004">
      <c r="A139">
        <v>100000</v>
      </c>
      <c r="B139">
        <v>0.61</v>
      </c>
      <c r="C139">
        <v>0.63</v>
      </c>
      <c r="D139">
        <v>0.61</v>
      </c>
      <c r="E139">
        <v>0.61</v>
      </c>
      <c r="F139">
        <v>0.61</v>
      </c>
      <c r="H139">
        <f>AVERAGE(B139,C139,D139,E139,F139)</f>
        <v>0.61399999999999999</v>
      </c>
    </row>
    <row r="140" spans="1:8" x14ac:dyDescent="0.55000000000000004">
      <c r="A140">
        <v>1000000</v>
      </c>
      <c r="B140" t="s">
        <v>57</v>
      </c>
      <c r="H140">
        <v>0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Clayton Burgess</dc:creator>
  <cp:lastModifiedBy>Clayton Burgess</cp:lastModifiedBy>
  <dcterms:created xsi:type="dcterms:W3CDTF">2026-04-17T13:52:24Z</dcterms:created>
  <dcterms:modified xsi:type="dcterms:W3CDTF">2026-05-02T18:29:14Z</dcterms:modified>
</cp:coreProperties>
</file>